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a\00.PrivateFiles\30.GitHub\PMD_TRPG\99_便利ツール\"/>
    </mc:Choice>
  </mc:AlternateContent>
  <xr:revisionPtr revIDLastSave="0" documentId="8_{AF5CB2AF-FFE7-442A-8E01-3D71FC9FE903}" xr6:coauthVersionLast="47" xr6:coauthVersionMax="47" xr10:uidLastSave="{00000000-0000-0000-0000-000000000000}"/>
  <bookViews>
    <workbookView xWindow="-108" yWindow="-108" windowWidth="23256" windowHeight="12456" xr2:uid="{B150D0FD-34AC-47CF-93B2-A5EA80949893}"/>
  </bookViews>
  <sheets>
    <sheet name="わざCP計算" sheetId="3" r:id="rId1"/>
    <sheet name="能力値計算" sheetId="1" r:id="rId2"/>
    <sheet name="わざデータ" sheetId="4" r:id="rId3"/>
    <sheet name="特徴表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3" l="1"/>
  <c r="C12" i="3"/>
  <c r="C11" i="3"/>
  <c r="C10" i="3"/>
  <c r="C9" i="3"/>
  <c r="C8" i="3"/>
  <c r="C7" i="3"/>
  <c r="C6" i="3"/>
  <c r="C2" i="3"/>
  <c r="C4" i="3"/>
  <c r="C5" i="3"/>
  <c r="C3" i="3"/>
  <c r="H7" i="1" l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4" i="1"/>
  <c r="H3" i="1"/>
  <c r="G3" i="1"/>
  <c r="F3" i="1"/>
  <c r="E3" i="1"/>
  <c r="D3" i="1"/>
  <c r="C3" i="1"/>
  <c r="H10" i="1" l="1"/>
  <c r="G10" i="1"/>
  <c r="C10" i="1"/>
  <c r="D10" i="1"/>
  <c r="F10" i="1"/>
  <c r="E10" i="1"/>
</calcChain>
</file>

<file path=xl/sharedStrings.xml><?xml version="1.0" encoding="utf-8"?>
<sst xmlns="http://schemas.openxmlformats.org/spreadsheetml/2006/main" count="88" uniqueCount="73">
  <si>
    <t>HP</t>
    <phoneticPr fontId="1"/>
  </si>
  <si>
    <t>こうげき</t>
    <phoneticPr fontId="1"/>
  </si>
  <si>
    <t>ぼうぎょ</t>
    <phoneticPr fontId="1"/>
  </si>
  <si>
    <t>とくこう</t>
    <phoneticPr fontId="1"/>
  </si>
  <si>
    <t>とくぼう</t>
    <phoneticPr fontId="1"/>
  </si>
  <si>
    <t>すばやさ</t>
    <phoneticPr fontId="1"/>
  </si>
  <si>
    <t>たいりょく</t>
    <phoneticPr fontId="1"/>
  </si>
  <si>
    <t>ちから</t>
    <phoneticPr fontId="1"/>
  </si>
  <si>
    <t>にんたい</t>
    <phoneticPr fontId="1"/>
  </si>
  <si>
    <t>ちえ</t>
    <phoneticPr fontId="1"/>
  </si>
  <si>
    <t>せいしん</t>
    <phoneticPr fontId="1"/>
  </si>
  <si>
    <t>きようさ</t>
    <phoneticPr fontId="1"/>
  </si>
  <si>
    <t>おおきさ</t>
    <phoneticPr fontId="1"/>
  </si>
  <si>
    <t>からだ</t>
    <phoneticPr fontId="1"/>
  </si>
  <si>
    <t>いどう</t>
    <phoneticPr fontId="1"/>
  </si>
  <si>
    <t>その他</t>
    <rPh sb="2" eb="3">
      <t>タ</t>
    </rPh>
    <phoneticPr fontId="1"/>
  </si>
  <si>
    <t>ちゅうがた</t>
    <phoneticPr fontId="1"/>
  </si>
  <si>
    <t>おおきい</t>
    <phoneticPr fontId="1"/>
  </si>
  <si>
    <t>こがた</t>
    <phoneticPr fontId="1"/>
  </si>
  <si>
    <t>かたい</t>
    <phoneticPr fontId="1"/>
  </si>
  <si>
    <t>やわらかい</t>
    <phoneticPr fontId="1"/>
  </si>
  <si>
    <t>うろこ</t>
    <phoneticPr fontId="1"/>
  </si>
  <si>
    <t>たいもう</t>
    <phoneticPr fontId="1"/>
  </si>
  <si>
    <t>ふたつあし</t>
    <phoneticPr fontId="1"/>
  </si>
  <si>
    <t>よつあし</t>
    <phoneticPr fontId="1"/>
  </si>
  <si>
    <t>たくさんのあし</t>
    <phoneticPr fontId="1"/>
  </si>
  <si>
    <t>つばさ</t>
    <phoneticPr fontId="1"/>
  </si>
  <si>
    <t>うかぶ</t>
    <phoneticPr fontId="1"/>
  </si>
  <si>
    <t>はう</t>
    <phoneticPr fontId="1"/>
  </si>
  <si>
    <t>ゆうどくなからだ</t>
    <phoneticPr fontId="1"/>
  </si>
  <si>
    <t>やみをまとう</t>
    <phoneticPr fontId="1"/>
  </si>
  <si>
    <t>たくましい</t>
    <phoneticPr fontId="1"/>
  </si>
  <si>
    <t>かしこい</t>
    <phoneticPr fontId="1"/>
  </si>
  <si>
    <t>すいじょう</t>
    <phoneticPr fontId="1"/>
  </si>
  <si>
    <t>きゃくりょく</t>
    <phoneticPr fontId="1"/>
  </si>
  <si>
    <t>キバ</t>
    <phoneticPr fontId="1"/>
  </si>
  <si>
    <t>わるがき</t>
    <phoneticPr fontId="1"/>
  </si>
  <si>
    <t>とくちょう</t>
    <phoneticPr fontId="1"/>
  </si>
  <si>
    <t>基本能力値</t>
    <rPh sb="0" eb="5">
      <t>キホンノウリョクチ</t>
    </rPh>
    <phoneticPr fontId="1"/>
  </si>
  <si>
    <t>威力</t>
  </si>
  <si>
    <t>CP</t>
  </si>
  <si>
    <t>射程</t>
  </si>
  <si>
    <t>対象</t>
  </si>
  <si>
    <t>1体</t>
  </si>
  <si>
    <t>周囲4スクエア</t>
  </si>
  <si>
    <t>周囲8スクエア</t>
  </si>
  <si>
    <t>直線</t>
  </si>
  <si>
    <t>自身</t>
    <rPh sb="0" eb="2">
      <t>ジシン</t>
    </rPh>
    <phoneticPr fontId="1"/>
  </si>
  <si>
    <t>わざタグ</t>
    <phoneticPr fontId="1"/>
  </si>
  <si>
    <t>CP</t>
    <phoneticPr fontId="1"/>
  </si>
  <si>
    <t>命中不安</t>
    <rPh sb="0" eb="4">
      <t>メイチュウフアン</t>
    </rPh>
    <phoneticPr fontId="1"/>
  </si>
  <si>
    <t>命中不安（小）</t>
    <rPh sb="0" eb="4">
      <t>メイチュウフアン</t>
    </rPh>
    <rPh sb="5" eb="6">
      <t>ショウ</t>
    </rPh>
    <phoneticPr fontId="1"/>
  </si>
  <si>
    <t>まきこまない</t>
    <phoneticPr fontId="1"/>
  </si>
  <si>
    <t>反動</t>
    <rPh sb="0" eb="2">
      <t>ハンドウ</t>
    </rPh>
    <phoneticPr fontId="1"/>
  </si>
  <si>
    <t>大振り</t>
    <rPh sb="0" eb="2">
      <t>オオブ</t>
    </rPh>
    <phoneticPr fontId="1"/>
  </si>
  <si>
    <t>吸収</t>
    <rPh sb="0" eb="2">
      <t>キュウシュウ</t>
    </rPh>
    <phoneticPr fontId="1"/>
  </si>
  <si>
    <t>状態異常：どく</t>
    <phoneticPr fontId="1"/>
  </si>
  <si>
    <t>状態異常：まひ</t>
    <phoneticPr fontId="1"/>
  </si>
  <si>
    <t>状態異常：ねむけ</t>
    <phoneticPr fontId="1"/>
  </si>
  <si>
    <t>状態異常：やけど</t>
    <phoneticPr fontId="1"/>
  </si>
  <si>
    <t>癒しの力</t>
    <rPh sb="0" eb="1">
      <t>イヤ</t>
    </rPh>
    <rPh sb="3" eb="4">
      <t>チカラ</t>
    </rPh>
    <phoneticPr fontId="1"/>
  </si>
  <si>
    <t>浄化</t>
    <rPh sb="0" eb="2">
      <t>ジョウカ</t>
    </rPh>
    <phoneticPr fontId="1"/>
  </si>
  <si>
    <t>防御（物理）</t>
    <rPh sb="0" eb="2">
      <t>ボウギョ</t>
    </rPh>
    <rPh sb="3" eb="5">
      <t>ブツリ</t>
    </rPh>
    <phoneticPr fontId="1"/>
  </si>
  <si>
    <t>防御（特殊）</t>
    <rPh sb="0" eb="2">
      <t>ボウギョ</t>
    </rPh>
    <rPh sb="3" eb="5">
      <t>トクシュ</t>
    </rPh>
    <phoneticPr fontId="1"/>
  </si>
  <si>
    <t>てだすけ</t>
    <phoneticPr fontId="1"/>
  </si>
  <si>
    <t>ひょうてき</t>
    <phoneticPr fontId="1"/>
  </si>
  <si>
    <t>威力</t>
    <rPh sb="0" eb="2">
      <t>イリョク</t>
    </rPh>
    <phoneticPr fontId="1"/>
  </si>
  <si>
    <t>射程</t>
    <rPh sb="0" eb="2">
      <t>シャテイ</t>
    </rPh>
    <phoneticPr fontId="1"/>
  </si>
  <si>
    <t>対象</t>
    <rPh sb="0" eb="2">
      <t>タイショウ</t>
    </rPh>
    <phoneticPr fontId="1"/>
  </si>
  <si>
    <t>合計</t>
    <rPh sb="0" eb="2">
      <t>ゴウケイ</t>
    </rPh>
    <phoneticPr fontId="1"/>
  </si>
  <si>
    <t>←太枠黄色セルはユーザー入力</t>
    <rPh sb="1" eb="3">
      <t>フトワク</t>
    </rPh>
    <rPh sb="3" eb="5">
      <t>キイロ</t>
    </rPh>
    <rPh sb="12" eb="14">
      <t>ニュウリョク</t>
    </rPh>
    <phoneticPr fontId="1"/>
  </si>
  <si>
    <t>←太字セルは自動入力</t>
    <rPh sb="1" eb="3">
      <t>フトジ</t>
    </rPh>
    <rPh sb="6" eb="10">
      <t>ジドウニュウリョク</t>
    </rPh>
    <phoneticPr fontId="1"/>
  </si>
  <si>
    <t>↑太枠黄色セルはユーザー入力</t>
    <rPh sb="1" eb="3">
      <t>フトワク</t>
    </rPh>
    <rPh sb="3" eb="5">
      <t>キイロ</t>
    </rPh>
    <rPh sb="12" eb="14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</si>
</sst>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1F2328"/>
      <name val="Segoe UI"/>
      <family val="2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>
      <alignment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3" borderId="5" xfId="0" applyFill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7DFE-5FB3-46F2-AEFC-414037B0A432}">
  <dimension ref="A1:C15"/>
  <sheetViews>
    <sheetView tabSelected="1" workbookViewId="0"/>
  </sheetViews>
  <sheetFormatPr defaultRowHeight="18" x14ac:dyDescent="0.45"/>
  <cols>
    <col min="2" max="2" width="19.09765625" customWidth="1"/>
  </cols>
  <sheetData>
    <row r="1" spans="1:3" ht="18.600000000000001" thickBot="1" x14ac:dyDescent="0.5">
      <c r="C1" t="s">
        <v>49</v>
      </c>
    </row>
    <row r="2" spans="1:3" ht="18.600000000000001" thickBot="1" x14ac:dyDescent="0.5">
      <c r="A2" s="7" t="s">
        <v>66</v>
      </c>
      <c r="B2" s="9">
        <v>3</v>
      </c>
      <c r="C2" s="17">
        <f>IFERROR(VLOOKUP(B2,わざデータ!J1:K6,2,FALSE),0)</f>
        <v>3</v>
      </c>
    </row>
    <row r="3" spans="1:3" ht="18.600000000000001" thickBot="1" x14ac:dyDescent="0.5">
      <c r="A3" s="7" t="s">
        <v>67</v>
      </c>
      <c r="B3" s="9">
        <v>1</v>
      </c>
      <c r="C3" s="17">
        <f>VLOOKUP(B3,わざデータ!D2:E5,2,FALSE)</f>
        <v>0</v>
      </c>
    </row>
    <row r="4" spans="1:3" ht="18.600000000000001" thickBot="1" x14ac:dyDescent="0.5">
      <c r="A4" s="7" t="s">
        <v>68</v>
      </c>
      <c r="B4" s="15" t="s">
        <v>43</v>
      </c>
      <c r="C4" s="17">
        <f>VLOOKUP(B4,わざデータ!G2:H6,2,FALSE)</f>
        <v>0</v>
      </c>
    </row>
    <row r="5" spans="1:3" ht="18.600000000000001" thickBot="1" x14ac:dyDescent="0.5">
      <c r="A5" s="16" t="s">
        <v>48</v>
      </c>
      <c r="B5" s="9"/>
      <c r="C5" s="17">
        <f>IFERROR(VLOOKUP(B5,わざデータ!A:B,2,FALSE),0)</f>
        <v>0</v>
      </c>
    </row>
    <row r="6" spans="1:3" ht="18.600000000000001" thickBot="1" x14ac:dyDescent="0.5">
      <c r="A6" s="16"/>
      <c r="B6" s="9"/>
      <c r="C6" s="17">
        <f>IFERROR(VLOOKUP(B6,わざデータ!A:B,2,FALSE),0)</f>
        <v>0</v>
      </c>
    </row>
    <row r="7" spans="1:3" ht="18.600000000000001" thickBot="1" x14ac:dyDescent="0.5">
      <c r="A7" s="16"/>
      <c r="B7" s="9"/>
      <c r="C7" s="17">
        <f>IFERROR(VLOOKUP(B7,わざデータ!A:B,2,FALSE),0)</f>
        <v>0</v>
      </c>
    </row>
    <row r="8" spans="1:3" ht="18.600000000000001" thickBot="1" x14ac:dyDescent="0.5">
      <c r="A8" s="16"/>
      <c r="B8" s="9"/>
      <c r="C8" s="17">
        <f>IFERROR(VLOOKUP(B8,わざデータ!A:B,2,FALSE),0)</f>
        <v>0</v>
      </c>
    </row>
    <row r="9" spans="1:3" ht="18.600000000000001" thickBot="1" x14ac:dyDescent="0.5">
      <c r="A9" s="16"/>
      <c r="B9" s="9"/>
      <c r="C9" s="17">
        <f>IFERROR(VLOOKUP(B9,わざデータ!A:B,2,FALSE),0)</f>
        <v>0</v>
      </c>
    </row>
    <row r="10" spans="1:3" ht="18.600000000000001" thickBot="1" x14ac:dyDescent="0.5">
      <c r="A10" s="16"/>
      <c r="B10" s="9"/>
      <c r="C10" s="17">
        <f>IFERROR(VLOOKUP(B10,わざデータ!A:B,2,FALSE),0)</f>
        <v>0</v>
      </c>
    </row>
    <row r="11" spans="1:3" ht="18.600000000000001" thickBot="1" x14ac:dyDescent="0.5">
      <c r="A11" s="16"/>
      <c r="B11" s="9"/>
      <c r="C11" s="17">
        <f>IFERROR(VLOOKUP(B11,わざデータ!A:B,2,FALSE),0)</f>
        <v>0</v>
      </c>
    </row>
    <row r="12" spans="1:3" ht="18.600000000000001" thickBot="1" x14ac:dyDescent="0.5">
      <c r="A12" s="16"/>
      <c r="B12" s="9"/>
      <c r="C12" s="17">
        <f>IFERROR(VLOOKUP(B12,わざデータ!A:B,2,FALSE),0)</f>
        <v>0</v>
      </c>
    </row>
    <row r="15" spans="1:3" x14ac:dyDescent="0.45">
      <c r="B15" s="3" t="s">
        <v>69</v>
      </c>
      <c r="C15" s="10">
        <f>SUM(C2:C12)</f>
        <v>3</v>
      </c>
    </row>
  </sheetData>
  <mergeCells count="1">
    <mergeCell ref="A5:A12"/>
  </mergeCells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51B27A2-7ADC-43F4-B886-67268731FF1D}">
          <x14:formula1>
            <xm:f>わざデータ!$D$2:$D$5</xm:f>
          </x14:formula1>
          <xm:sqref>B3</xm:sqref>
        </x14:dataValidation>
        <x14:dataValidation type="list" allowBlank="1" showInputMessage="1" showErrorMessage="1" xr:uid="{F7E3B37A-DCC9-403B-BCFD-E877DDD6543A}">
          <x14:formula1>
            <xm:f>わざデータ!$G$2:$G$6</xm:f>
          </x14:formula1>
          <xm:sqref>B4</xm:sqref>
        </x14:dataValidation>
        <x14:dataValidation type="list" allowBlank="1" showInputMessage="1" showErrorMessage="1" xr:uid="{1B7A3F13-227F-4142-835B-7CBFAED25C64}">
          <x14:formula1>
            <xm:f>わざデータ!$J$2:$J$6</xm:f>
          </x14:formula1>
          <xm:sqref>B2</xm:sqref>
        </x14:dataValidation>
        <x14:dataValidation type="list" allowBlank="1" showInputMessage="1" showErrorMessage="1" xr:uid="{4537EE07-EF8E-409F-A946-321C5DEEEE9E}">
          <x14:formula1>
            <xm:f>わざデータ!$A:$A</xm:f>
          </x14:formula1>
          <xm:sqref>B5:B12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B929-29F0-4762-AE82-B01A0935A640}">
  <dimension ref="A1:O18"/>
  <sheetViews>
    <sheetView workbookViewId="0"/>
  </sheetViews>
  <sheetFormatPr defaultRowHeight="18" x14ac:dyDescent="0.45"/>
  <cols>
    <col min="2" max="2" width="10.3984375" bestFit="1" customWidth="1"/>
  </cols>
  <sheetData>
    <row r="1" spans="1:15" ht="18.600000000000001" thickBot="1" x14ac:dyDescent="0.5">
      <c r="A1" s="1"/>
      <c r="B1" s="1"/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15" ht="18.600000000000001" thickBot="1" x14ac:dyDescent="0.5">
      <c r="A2" s="4"/>
      <c r="B2" s="6" t="s">
        <v>38</v>
      </c>
      <c r="C2" s="8">
        <v>5</v>
      </c>
      <c r="D2" s="8">
        <v>3</v>
      </c>
      <c r="E2" s="8">
        <v>4</v>
      </c>
      <c r="F2" s="8">
        <v>10</v>
      </c>
      <c r="G2" s="8">
        <v>4</v>
      </c>
      <c r="H2" s="8">
        <v>4</v>
      </c>
      <c r="I2" t="s">
        <v>70</v>
      </c>
    </row>
    <row r="3" spans="1:15" ht="18.600000000000001" thickBot="1" x14ac:dyDescent="0.5">
      <c r="A3" s="5" t="s">
        <v>12</v>
      </c>
      <c r="B3" s="8" t="s">
        <v>18</v>
      </c>
      <c r="C3" s="11">
        <f>VLOOKUP($B3,特徴表!$A:$G,COLUMN()-1,FALSE)</f>
        <v>5</v>
      </c>
      <c r="D3" s="12">
        <f>VLOOKUP($B3,特徴表!$A:$G,COLUMN()-1,FALSE)</f>
        <v>3</v>
      </c>
      <c r="E3" s="12">
        <f>VLOOKUP($B3,特徴表!$A:$G,COLUMN()-1,FALSE)</f>
        <v>0</v>
      </c>
      <c r="F3" s="12">
        <f>VLOOKUP($B3,特徴表!$A:$G,COLUMN()-1,FALSE)</f>
        <v>3</v>
      </c>
      <c r="G3" s="12">
        <f>VLOOKUP($B3,特徴表!$A:$G,COLUMN()-1,FALSE)</f>
        <v>0</v>
      </c>
      <c r="H3" s="12">
        <f>VLOOKUP($B3,特徴表!$A:$G,COLUMN()-1,FALSE)</f>
        <v>5</v>
      </c>
    </row>
    <row r="4" spans="1:15" ht="18.600000000000001" thickBot="1" x14ac:dyDescent="0.5">
      <c r="A4" s="7" t="s">
        <v>13</v>
      </c>
      <c r="B4" s="9" t="s">
        <v>20</v>
      </c>
      <c r="C4" s="13">
        <f>VLOOKUP($B4,特徴表!$A:$G,COLUMN()-1,FALSE)</f>
        <v>5</v>
      </c>
      <c r="D4" s="14">
        <f>VLOOKUP($B4,特徴表!$A:$G,COLUMN()-1,FALSE)</f>
        <v>0</v>
      </c>
      <c r="E4" s="14">
        <f>VLOOKUP($B4,特徴表!$A:$G,COLUMN()-1,FALSE)</f>
        <v>0</v>
      </c>
      <c r="F4" s="14">
        <f>VLOOKUP($B4,特徴表!$A:$G,COLUMN()-1,FALSE)</f>
        <v>0</v>
      </c>
      <c r="G4" s="14">
        <f>VLOOKUP($B4,特徴表!$A:$G,COLUMN()-1,FALSE)</f>
        <v>2</v>
      </c>
      <c r="H4" s="14">
        <f>VLOOKUP($B4,特徴表!$A:$G,COLUMN()-1,FALSE)</f>
        <v>0</v>
      </c>
    </row>
    <row r="5" spans="1:15" ht="18.600000000000001" thickBot="1" x14ac:dyDescent="0.5">
      <c r="A5" s="7" t="s">
        <v>14</v>
      </c>
      <c r="B5" s="9" t="s">
        <v>24</v>
      </c>
      <c r="C5" s="13">
        <f>VLOOKUP($B5,特徴表!$A:$G,COLUMN()-1,FALSE)</f>
        <v>0</v>
      </c>
      <c r="D5" s="14">
        <f>VLOOKUP($B5,特徴表!$A:$G,COLUMN()-1,FALSE)</f>
        <v>0</v>
      </c>
      <c r="E5" s="14">
        <f>VLOOKUP($B5,特徴表!$A:$G,COLUMN()-1,FALSE)</f>
        <v>0</v>
      </c>
      <c r="F5" s="14">
        <f>VLOOKUP($B5,特徴表!$A:$G,COLUMN()-1,FALSE)</f>
        <v>0</v>
      </c>
      <c r="G5" s="14">
        <f>VLOOKUP($B5,特徴表!$A:$G,COLUMN()-1,FALSE)</f>
        <v>0</v>
      </c>
      <c r="H5" s="14">
        <f>VLOOKUP($B5,特徴表!$A:$G,COLUMN()-1,FALSE)</f>
        <v>4</v>
      </c>
    </row>
    <row r="6" spans="1:15" ht="18.600000000000001" thickBot="1" x14ac:dyDescent="0.5">
      <c r="A6" s="7" t="s">
        <v>15</v>
      </c>
      <c r="B6" s="9" t="s">
        <v>32</v>
      </c>
      <c r="C6" s="13">
        <f>VLOOKUP($B6,特徴表!$A:$G,COLUMN()-1,FALSE)</f>
        <v>0</v>
      </c>
      <c r="D6" s="14">
        <f>VLOOKUP($B6,特徴表!$A:$G,COLUMN()-1,FALSE)</f>
        <v>0</v>
      </c>
      <c r="E6" s="14">
        <f>VLOOKUP($B6,特徴表!$A:$G,COLUMN()-1,FALSE)</f>
        <v>0</v>
      </c>
      <c r="F6" s="14">
        <f>VLOOKUP($B6,特徴表!$A:$G,COLUMN()-1,FALSE)</f>
        <v>1</v>
      </c>
      <c r="G6" s="14">
        <f>VLOOKUP($B6,特徴表!$A:$G,COLUMN()-1,FALSE)</f>
        <v>1</v>
      </c>
      <c r="H6" s="14">
        <f>VLOOKUP($B6,特徴表!$A:$G,COLUMN()-1,FALSE)</f>
        <v>0</v>
      </c>
    </row>
    <row r="7" spans="1:15" ht="18.600000000000001" thickBot="1" x14ac:dyDescent="0.5">
      <c r="A7" s="5" t="s">
        <v>15</v>
      </c>
      <c r="B7" s="8" t="s">
        <v>31</v>
      </c>
      <c r="C7" s="13">
        <f>VLOOKUP($B7,特徴表!$A:$G,COLUMN()-1,FALSE)</f>
        <v>2</v>
      </c>
      <c r="D7" s="14">
        <f>VLOOKUP($B7,特徴表!$A:$G,COLUMN()-1,FALSE)</f>
        <v>1</v>
      </c>
      <c r="E7" s="14">
        <f>VLOOKUP($B7,特徴表!$A:$G,COLUMN()-1,FALSE)</f>
        <v>1</v>
      </c>
      <c r="F7" s="14">
        <f>VLOOKUP($B7,特徴表!$A:$G,COLUMN()-1,FALSE)</f>
        <v>0</v>
      </c>
      <c r="G7" s="14">
        <f>VLOOKUP($B7,特徴表!$A:$G,COLUMN()-1,FALSE)</f>
        <v>0</v>
      </c>
      <c r="H7" s="14">
        <f>VLOOKUP($B7,特徴表!$A:$G,COLUMN()-1,FALSE)</f>
        <v>0</v>
      </c>
    </row>
    <row r="8" spans="1:15" x14ac:dyDescent="0.45">
      <c r="A8" s="1"/>
      <c r="B8" s="1" t="s">
        <v>72</v>
      </c>
      <c r="C8" s="1"/>
      <c r="D8" s="1"/>
      <c r="E8" s="1"/>
      <c r="F8" s="1"/>
    </row>
    <row r="9" spans="1:15" x14ac:dyDescent="0.45">
      <c r="C9" s="3" t="s">
        <v>0</v>
      </c>
      <c r="D9" s="3" t="s">
        <v>1</v>
      </c>
      <c r="E9" s="3" t="s">
        <v>2</v>
      </c>
      <c r="F9" s="3" t="s">
        <v>3</v>
      </c>
      <c r="G9" s="3" t="s">
        <v>4</v>
      </c>
      <c r="H9" s="3" t="s">
        <v>5</v>
      </c>
    </row>
    <row r="10" spans="1:15" x14ac:dyDescent="0.45">
      <c r="C10" s="10">
        <f>SUM(C2:C7)+10</f>
        <v>27</v>
      </c>
      <c r="D10" s="10">
        <f>SUM(D2:D7)</f>
        <v>7</v>
      </c>
      <c r="E10" s="10">
        <f>SUM(E2:E7)</f>
        <v>5</v>
      </c>
      <c r="F10" s="10">
        <f>SUM(F2:F7)</f>
        <v>14</v>
      </c>
      <c r="G10" s="10">
        <f>SUM(G2:G7)</f>
        <v>7</v>
      </c>
      <c r="H10" s="10">
        <f>SUM(H2:H7)</f>
        <v>13</v>
      </c>
      <c r="I10" t="s">
        <v>71</v>
      </c>
    </row>
    <row r="11" spans="1:15" x14ac:dyDescent="0.45">
      <c r="A11" s="1"/>
      <c r="B11" s="1"/>
      <c r="C11" s="1"/>
      <c r="D11" s="1"/>
      <c r="E11" s="1"/>
      <c r="F11" s="1"/>
    </row>
    <row r="15" spans="1:15" x14ac:dyDescent="0.45">
      <c r="A15" s="1"/>
      <c r="B15" s="1"/>
      <c r="C15" s="1"/>
      <c r="D15" s="1"/>
      <c r="E15" s="1"/>
      <c r="F15" s="1"/>
      <c r="J15" s="1"/>
      <c r="K15" s="1"/>
      <c r="L15" s="1"/>
      <c r="M15" s="1"/>
      <c r="N15" s="1"/>
      <c r="O15" s="1"/>
    </row>
    <row r="16" spans="1:15" x14ac:dyDescent="0.45">
      <c r="A16" s="1"/>
      <c r="B16" s="1"/>
      <c r="C16" s="1"/>
      <c r="D16" s="1"/>
      <c r="E16" s="1"/>
      <c r="F16" s="1"/>
    </row>
    <row r="17" spans="1:6" x14ac:dyDescent="0.45">
      <c r="A17" s="1"/>
      <c r="B17" s="1"/>
      <c r="C17" s="1"/>
      <c r="D17" s="1"/>
      <c r="E17" s="1"/>
      <c r="F17" s="1"/>
    </row>
    <row r="18" spans="1:6" x14ac:dyDescent="0.45">
      <c r="A18" s="1"/>
      <c r="B18" s="1"/>
      <c r="C18" s="1"/>
      <c r="D18" s="1"/>
      <c r="E18" s="1"/>
      <c r="F18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A83B-C2BA-4E09-B855-99A736CB2B61}">
  <sheetPr>
    <tabColor theme="6"/>
  </sheetPr>
  <dimension ref="A1:K16"/>
  <sheetViews>
    <sheetView workbookViewId="0">
      <selection activeCell="B1" sqref="A1:B1"/>
    </sheetView>
  </sheetViews>
  <sheetFormatPr defaultRowHeight="18" x14ac:dyDescent="0.45"/>
  <cols>
    <col min="1" max="1" width="16.296875" bestFit="1" customWidth="1"/>
  </cols>
  <sheetData>
    <row r="1" spans="1:11" x14ac:dyDescent="0.45">
      <c r="A1" t="s">
        <v>50</v>
      </c>
      <c r="B1">
        <v>-3</v>
      </c>
      <c r="D1" t="s">
        <v>41</v>
      </c>
      <c r="E1" t="s">
        <v>40</v>
      </c>
      <c r="G1" t="s">
        <v>42</v>
      </c>
      <c r="H1" t="s">
        <v>40</v>
      </c>
      <c r="J1" t="s">
        <v>39</v>
      </c>
      <c r="K1" t="s">
        <v>40</v>
      </c>
    </row>
    <row r="2" spans="1:11" x14ac:dyDescent="0.45">
      <c r="A2" t="s">
        <v>51</v>
      </c>
      <c r="B2">
        <v>-2</v>
      </c>
      <c r="D2">
        <v>0</v>
      </c>
      <c r="E2">
        <v>0</v>
      </c>
      <c r="G2" t="s">
        <v>47</v>
      </c>
      <c r="H2">
        <v>0</v>
      </c>
      <c r="J2">
        <v>1</v>
      </c>
      <c r="K2">
        <v>0</v>
      </c>
    </row>
    <row r="3" spans="1:11" x14ac:dyDescent="0.45">
      <c r="A3" t="s">
        <v>52</v>
      </c>
      <c r="B3">
        <v>3</v>
      </c>
      <c r="D3">
        <v>1</v>
      </c>
      <c r="E3">
        <v>0</v>
      </c>
      <c r="G3" t="s">
        <v>43</v>
      </c>
      <c r="H3">
        <v>0</v>
      </c>
      <c r="J3">
        <v>2</v>
      </c>
      <c r="K3">
        <v>1</v>
      </c>
    </row>
    <row r="4" spans="1:11" x14ac:dyDescent="0.45">
      <c r="A4" t="s">
        <v>53</v>
      </c>
      <c r="B4">
        <v>-3</v>
      </c>
      <c r="D4">
        <v>2</v>
      </c>
      <c r="E4">
        <v>1</v>
      </c>
      <c r="G4" t="s">
        <v>44</v>
      </c>
      <c r="H4">
        <v>3</v>
      </c>
      <c r="J4">
        <v>3</v>
      </c>
      <c r="K4">
        <v>3</v>
      </c>
    </row>
    <row r="5" spans="1:11" x14ac:dyDescent="0.45">
      <c r="A5" t="s">
        <v>54</v>
      </c>
      <c r="B5">
        <v>-4</v>
      </c>
      <c r="D5">
        <v>5</v>
      </c>
      <c r="E5">
        <v>3</v>
      </c>
      <c r="G5" t="s">
        <v>45</v>
      </c>
      <c r="H5">
        <v>4</v>
      </c>
      <c r="J5">
        <v>5</v>
      </c>
      <c r="K5">
        <v>5</v>
      </c>
    </row>
    <row r="6" spans="1:11" x14ac:dyDescent="0.45">
      <c r="A6" t="s">
        <v>55</v>
      </c>
      <c r="B6">
        <v>-4</v>
      </c>
      <c r="G6" t="s">
        <v>46</v>
      </c>
      <c r="H6">
        <v>4</v>
      </c>
      <c r="J6">
        <v>8</v>
      </c>
      <c r="K6">
        <v>10</v>
      </c>
    </row>
    <row r="7" spans="1:11" x14ac:dyDescent="0.45">
      <c r="A7" t="s">
        <v>56</v>
      </c>
      <c r="B7">
        <v>6</v>
      </c>
    </row>
    <row r="8" spans="1:11" x14ac:dyDescent="0.45">
      <c r="A8" t="s">
        <v>57</v>
      </c>
      <c r="B8">
        <v>6</v>
      </c>
    </row>
    <row r="9" spans="1:11" x14ac:dyDescent="0.45">
      <c r="A9" t="s">
        <v>58</v>
      </c>
      <c r="B9">
        <v>6</v>
      </c>
    </row>
    <row r="10" spans="1:11" x14ac:dyDescent="0.45">
      <c r="A10" t="s">
        <v>59</v>
      </c>
      <c r="B10">
        <v>6</v>
      </c>
    </row>
    <row r="11" spans="1:11" x14ac:dyDescent="0.45">
      <c r="A11" t="s">
        <v>60</v>
      </c>
      <c r="B11">
        <v>7</v>
      </c>
    </row>
    <row r="12" spans="1:11" x14ac:dyDescent="0.45">
      <c r="A12" t="s">
        <v>61</v>
      </c>
      <c r="B12">
        <v>5</v>
      </c>
    </row>
    <row r="13" spans="1:11" x14ac:dyDescent="0.45">
      <c r="A13" t="s">
        <v>62</v>
      </c>
      <c r="B13">
        <v>3</v>
      </c>
    </row>
    <row r="14" spans="1:11" x14ac:dyDescent="0.45">
      <c r="A14" t="s">
        <v>63</v>
      </c>
      <c r="B14">
        <v>3</v>
      </c>
    </row>
    <row r="15" spans="1:11" x14ac:dyDescent="0.45">
      <c r="A15" t="s">
        <v>64</v>
      </c>
      <c r="B15">
        <v>7</v>
      </c>
    </row>
    <row r="16" spans="1:11" x14ac:dyDescent="0.45">
      <c r="A16" t="s">
        <v>65</v>
      </c>
      <c r="B16">
        <v>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021C-5721-4C3E-81B3-2F3197A75DE5}">
  <sheetPr>
    <tabColor theme="6"/>
  </sheetPr>
  <dimension ref="A1:G22"/>
  <sheetViews>
    <sheetView workbookViewId="0">
      <selection activeCell="C3" sqref="C3"/>
    </sheetView>
  </sheetViews>
  <sheetFormatPr defaultRowHeight="18" x14ac:dyDescent="0.45"/>
  <cols>
    <col min="1" max="1" width="14.3984375" bestFit="1" customWidth="1"/>
  </cols>
  <sheetData>
    <row r="1" spans="1:7" ht="18.600000000000001" thickBot="1" x14ac:dyDescent="0.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8.600000000000001" thickBot="1" x14ac:dyDescent="0.5">
      <c r="A2" t="s">
        <v>17</v>
      </c>
      <c r="B2" s="2">
        <v>18</v>
      </c>
      <c r="C2" s="2">
        <v>1</v>
      </c>
      <c r="D2" s="2">
        <v>2</v>
      </c>
      <c r="E2" s="2">
        <v>0</v>
      </c>
      <c r="F2" s="2">
        <v>0</v>
      </c>
      <c r="G2" s="2">
        <v>-5</v>
      </c>
    </row>
    <row r="3" spans="1:7" ht="18.600000000000001" thickBot="1" x14ac:dyDescent="0.5">
      <c r="A3" t="s">
        <v>16</v>
      </c>
      <c r="B3" s="2">
        <v>9</v>
      </c>
      <c r="C3" s="2">
        <v>2</v>
      </c>
      <c r="D3" s="2">
        <v>1</v>
      </c>
      <c r="E3" s="2">
        <v>2</v>
      </c>
      <c r="F3" s="2">
        <v>1</v>
      </c>
      <c r="G3" s="2">
        <v>1</v>
      </c>
    </row>
    <row r="4" spans="1:7" ht="18.600000000000001" thickBot="1" x14ac:dyDescent="0.5">
      <c r="A4" t="s">
        <v>18</v>
      </c>
      <c r="B4" s="2">
        <v>5</v>
      </c>
      <c r="C4" s="2">
        <v>3</v>
      </c>
      <c r="D4" s="2">
        <v>0</v>
      </c>
      <c r="E4" s="2">
        <v>3</v>
      </c>
      <c r="F4" s="2">
        <v>0</v>
      </c>
      <c r="G4" s="2">
        <v>5</v>
      </c>
    </row>
    <row r="5" spans="1:7" ht="18.600000000000001" thickBot="1" x14ac:dyDescent="0.5">
      <c r="A5" t="s">
        <v>19</v>
      </c>
      <c r="B5" s="2">
        <v>7</v>
      </c>
      <c r="C5" s="2">
        <v>0</v>
      </c>
      <c r="D5" s="2">
        <v>2</v>
      </c>
      <c r="E5" s="2">
        <v>0</v>
      </c>
      <c r="F5" s="2">
        <v>0</v>
      </c>
      <c r="G5" s="2">
        <v>-2</v>
      </c>
    </row>
    <row r="6" spans="1:7" ht="18.600000000000001" thickBot="1" x14ac:dyDescent="0.5">
      <c r="A6" t="s">
        <v>20</v>
      </c>
      <c r="B6" s="2">
        <v>5</v>
      </c>
      <c r="C6" s="2">
        <v>0</v>
      </c>
      <c r="D6" s="2">
        <v>0</v>
      </c>
      <c r="E6" s="2">
        <v>0</v>
      </c>
      <c r="F6" s="2">
        <v>2</v>
      </c>
      <c r="G6" s="2">
        <v>0</v>
      </c>
    </row>
    <row r="7" spans="1:7" ht="18.600000000000001" thickBot="1" x14ac:dyDescent="0.5">
      <c r="A7" t="s">
        <v>21</v>
      </c>
      <c r="B7" s="2">
        <v>6</v>
      </c>
      <c r="C7" s="2">
        <v>0</v>
      </c>
      <c r="D7" s="2">
        <v>1</v>
      </c>
      <c r="E7" s="2">
        <v>0</v>
      </c>
      <c r="F7" s="2">
        <v>1</v>
      </c>
      <c r="G7" s="2">
        <v>-1</v>
      </c>
    </row>
    <row r="8" spans="1:7" ht="18.600000000000001" thickBot="1" x14ac:dyDescent="0.5">
      <c r="A8" t="s">
        <v>22</v>
      </c>
      <c r="B8" s="2">
        <v>5</v>
      </c>
      <c r="C8" s="2">
        <v>0</v>
      </c>
      <c r="D8" s="2">
        <v>0</v>
      </c>
      <c r="E8" s="2">
        <v>0</v>
      </c>
      <c r="F8" s="2">
        <v>2</v>
      </c>
      <c r="G8" s="2">
        <v>0</v>
      </c>
    </row>
    <row r="9" spans="1:7" ht="18.600000000000001" thickBot="1" x14ac:dyDescent="0.5">
      <c r="A9" t="s">
        <v>23</v>
      </c>
      <c r="B9" s="2">
        <v>0</v>
      </c>
      <c r="C9" s="2">
        <v>2</v>
      </c>
      <c r="D9" s="2">
        <v>0</v>
      </c>
      <c r="E9" s="2">
        <v>2</v>
      </c>
      <c r="F9" s="2">
        <v>0</v>
      </c>
      <c r="G9" s="2">
        <v>0</v>
      </c>
    </row>
    <row r="10" spans="1:7" ht="18.600000000000001" thickBot="1" x14ac:dyDescent="0.5">
      <c r="A10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4</v>
      </c>
    </row>
    <row r="11" spans="1:7" ht="18.600000000000001" thickBot="1" x14ac:dyDescent="0.5">
      <c r="A11" t="s">
        <v>25</v>
      </c>
      <c r="B11" s="2">
        <v>0</v>
      </c>
      <c r="C11" s="2">
        <v>0</v>
      </c>
      <c r="D11" s="2">
        <v>2</v>
      </c>
      <c r="E11" s="2">
        <v>0</v>
      </c>
      <c r="F11" s="2">
        <v>0</v>
      </c>
      <c r="G11" s="2">
        <v>0</v>
      </c>
    </row>
    <row r="12" spans="1:7" ht="18.600000000000001" thickBot="1" x14ac:dyDescent="0.5">
      <c r="A12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</row>
    <row r="13" spans="1:7" ht="18.600000000000001" thickBot="1" x14ac:dyDescent="0.5">
      <c r="A13" t="s">
        <v>27</v>
      </c>
      <c r="B13" s="2">
        <v>0</v>
      </c>
      <c r="C13" s="2">
        <v>0</v>
      </c>
      <c r="D13" s="2">
        <v>0</v>
      </c>
      <c r="E13" s="2">
        <v>2</v>
      </c>
      <c r="F13" s="2">
        <v>2</v>
      </c>
      <c r="G13" s="2">
        <v>0</v>
      </c>
    </row>
    <row r="14" spans="1:7" ht="18.600000000000001" thickBot="1" x14ac:dyDescent="0.5">
      <c r="A14" t="s">
        <v>28</v>
      </c>
      <c r="B14" s="2">
        <v>0</v>
      </c>
      <c r="C14" s="2">
        <v>0</v>
      </c>
      <c r="D14" s="2">
        <v>4</v>
      </c>
      <c r="E14" s="2">
        <v>0</v>
      </c>
      <c r="F14" s="2">
        <v>0</v>
      </c>
      <c r="G14" s="2">
        <v>0</v>
      </c>
    </row>
    <row r="15" spans="1:7" ht="18.600000000000001" thickBot="1" x14ac:dyDescent="0.5">
      <c r="A15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7" ht="18.600000000000001" thickBot="1" x14ac:dyDescent="0.5">
      <c r="A16" t="s">
        <v>30</v>
      </c>
      <c r="B16" s="2">
        <v>0</v>
      </c>
      <c r="C16" s="2">
        <v>0</v>
      </c>
      <c r="D16" s="2">
        <v>0</v>
      </c>
      <c r="E16" s="2">
        <v>1</v>
      </c>
      <c r="F16" s="2">
        <v>1</v>
      </c>
      <c r="G16" s="2">
        <v>0</v>
      </c>
    </row>
    <row r="17" spans="1:7" ht="18.600000000000001" thickBot="1" x14ac:dyDescent="0.5">
      <c r="A17" t="s">
        <v>31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</row>
    <row r="18" spans="1:7" ht="18.600000000000001" thickBot="1" x14ac:dyDescent="0.5">
      <c r="A18" t="s">
        <v>32</v>
      </c>
      <c r="B18" s="2">
        <v>0</v>
      </c>
      <c r="C18" s="2">
        <v>0</v>
      </c>
      <c r="D18" s="2">
        <v>0</v>
      </c>
      <c r="E18" s="2">
        <v>1</v>
      </c>
      <c r="F18" s="2">
        <v>1</v>
      </c>
      <c r="G18" s="2">
        <v>0</v>
      </c>
    </row>
    <row r="19" spans="1:7" ht="18.600000000000001" thickBot="1" x14ac:dyDescent="0.5">
      <c r="A19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</row>
    <row r="20" spans="1:7" ht="18.600000000000001" thickBot="1" x14ac:dyDescent="0.5">
      <c r="A20" t="s">
        <v>34</v>
      </c>
      <c r="B20" s="2">
        <v>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</row>
    <row r="21" spans="1:7" ht="18.600000000000001" thickBot="1" x14ac:dyDescent="0.5">
      <c r="A21" t="s">
        <v>35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</row>
    <row r="22" spans="1:7" ht="18.600000000000001" thickBot="1" x14ac:dyDescent="0.5">
      <c r="A22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わざCP計算</vt:lpstr>
      <vt:lpstr>能力値計算</vt:lpstr>
      <vt:lpstr>わざデータ</vt:lpstr>
      <vt:lpstr>特徴表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優馬 大森</dc:creator>
  <cp:lastModifiedBy>優馬 大森</cp:lastModifiedBy>
  <dcterms:created xsi:type="dcterms:W3CDTF">2026-02-22T03:29:46Z</dcterms:created>
  <dcterms:modified xsi:type="dcterms:W3CDTF">2026-02-22T15:02:09Z</dcterms:modified>
</cp:coreProperties>
</file>